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nebraska-my.sharepoint.com/personal/87592851_nebraska_edu/Documents/"/>
    </mc:Choice>
  </mc:AlternateContent>
  <xr:revisionPtr revIDLastSave="144" documentId="11_E60897F41BE170836B02CE998F75CCDC64E183C8" xr6:coauthVersionLast="47" xr6:coauthVersionMax="47" xr10:uidLastSave="{68CA2187-C57B-477C-87EF-37DE8F8222FA}"/>
  <bookViews>
    <workbookView xWindow="0" yWindow="660" windowWidth="3024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F6" i="1"/>
  <c r="F18" i="1"/>
  <c r="F17" i="1"/>
  <c r="F5" i="1"/>
  <c r="F13" i="1"/>
  <c r="F2" i="1"/>
  <c r="F3" i="1"/>
  <c r="F4" i="1"/>
  <c r="F7" i="1"/>
  <c r="F8" i="1"/>
  <c r="F9" i="1"/>
  <c r="F10" i="1"/>
  <c r="F11" i="1"/>
  <c r="F12" i="1"/>
  <c r="F14" i="1"/>
  <c r="F15" i="1"/>
  <c r="F16" i="1"/>
  <c r="F19" i="1" l="1"/>
</calcChain>
</file>

<file path=xl/sharedStrings.xml><?xml version="1.0" encoding="utf-8"?>
<sst xmlns="http://schemas.openxmlformats.org/spreadsheetml/2006/main" count="42" uniqueCount="26">
  <si>
    <t>Date</t>
  </si>
  <si>
    <t>Person</t>
  </si>
  <si>
    <t>Hours Worked</t>
  </si>
  <si>
    <t>Tasks Completed</t>
  </si>
  <si>
    <t>Hourly Rate</t>
  </si>
  <si>
    <t>Total</t>
  </si>
  <si>
    <t>Jason</t>
  </si>
  <si>
    <t>Reviewed NHTS dataset and metadata</t>
  </si>
  <si>
    <t>Reviewed NGSIM dataset variables</t>
  </si>
  <si>
    <t>Tu</t>
  </si>
  <si>
    <t>Cleaned dataset and removed missing values</t>
  </si>
  <si>
    <t>Scope of Work(1)</t>
  </si>
  <si>
    <t>Scope of Work(2)</t>
  </si>
  <si>
    <t>Selected variables for visualization</t>
  </si>
  <si>
    <t>Created bar chart visualization</t>
  </si>
  <si>
    <t>Created histogram plot</t>
  </si>
  <si>
    <t>Created boxplot visualization</t>
  </si>
  <si>
    <t>Developed time-series plots</t>
  </si>
  <si>
    <t>Implemented IDM simulation model (1)</t>
  </si>
  <si>
    <t>Implemented IDM simulation model (2)</t>
  </si>
  <si>
    <t>Documented Python code and comments</t>
  </si>
  <si>
    <t>Prepared GitHub repository and README</t>
  </si>
  <si>
    <t>Write Methods</t>
  </si>
  <si>
    <t>Write Results and Discussion</t>
  </si>
  <si>
    <t>Engineering Timesheet</t>
  </si>
  <si>
    <t>Total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</si>
</sst>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6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numFmt numFmtId="2" formatCode="0.00"/>
      <alignment horizontal="center" vertical="center"/>
    </dxf>
    <dxf>
      <numFmt numFmtId="10" formatCode="&quot;$&quot;#,##0_);[Red]\(&quot;$&quot;#,##0\)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m/d/yyyy"/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0BCAB1-B722-4203-A6DB-5F4D95643DFC}" name="Table2" displayName="Table2" ref="A1:F19" totalsRowShown="0" headerRowDxfId="7" dataDxfId="6">
  <autoFilter ref="A1:F19" xr:uid="{A50BCAB1-B722-4203-A6DB-5F4D95643DFC}"/>
  <tableColumns count="6">
    <tableColumn id="2" xr3:uid="{F08DB421-9C6A-45A4-882C-907DE1E65DE9}" name="Date" dataDxfId="5"/>
    <tableColumn id="3" xr3:uid="{013E1D40-3286-440A-BB58-EF8A1284E865}" name="Person" dataDxfId="4"/>
    <tableColumn id="4" xr3:uid="{957E425B-5D83-4E56-8587-5146ABD994EA}" name="Hours Worked" dataDxfId="3"/>
    <tableColumn id="5" xr3:uid="{0131410F-ABFA-496C-A7A8-47F99F203612}" name="Tasks Completed" dataDxfId="2"/>
    <tableColumn id="6" xr3:uid="{20BF5425-F544-4A65-8ACF-5CF0DB3E213F}" name="Hourly Rate" dataDxfId="1"/>
    <tableColumn id="7" xr3:uid="{0D563253-B5CC-41CC-803F-3BF4EDD7D548}" name="Total" dataDxfId="0">
      <calculatedColumnFormula>Table2[[#This Row],[Hourly Rate]]*Table2[[#This Row],[Hours Worked]]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25" sqref="D25"/>
    </sheetView>
  </sheetViews>
  <sheetFormatPr defaultColWidth="8.85546875" defaultRowHeight="15"/>
  <cols>
    <col min="1" max="1" width="17.7109375" customWidth="1"/>
    <col min="2" max="2" width="23.42578125" customWidth="1"/>
    <col min="3" max="3" width="17.140625" customWidth="1"/>
    <col min="4" max="4" width="43.140625" customWidth="1"/>
    <col min="5" max="5" width="16.140625" customWidth="1"/>
    <col min="6" max="6" width="18.42578125" style="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>
      <c r="A2" s="3">
        <v>46079</v>
      </c>
      <c r="B2" s="2" t="s">
        <v>6</v>
      </c>
      <c r="C2" s="2">
        <v>1</v>
      </c>
      <c r="D2" s="2" t="s">
        <v>7</v>
      </c>
      <c r="E2" s="4">
        <v>25</v>
      </c>
      <c r="F2" s="6">
        <f>Table2[[#This Row],[Hourly Rate]]*Table2[[#This Row],[Hours Worked]]</f>
        <v>25</v>
      </c>
    </row>
    <row r="3" spans="1:6">
      <c r="A3" s="3">
        <v>46083</v>
      </c>
      <c r="B3" s="2" t="s">
        <v>6</v>
      </c>
      <c r="C3" s="2">
        <v>1</v>
      </c>
      <c r="D3" s="2" t="s">
        <v>8</v>
      </c>
      <c r="E3" s="4">
        <v>25</v>
      </c>
      <c r="F3" s="6">
        <f>Table2[[#This Row],[Hourly Rate]]*Table2[[#This Row],[Hours Worked]]</f>
        <v>25</v>
      </c>
    </row>
    <row r="4" spans="1:6">
      <c r="A4" s="3">
        <v>46083</v>
      </c>
      <c r="B4" s="2" t="s">
        <v>9</v>
      </c>
      <c r="C4" s="2">
        <v>1</v>
      </c>
      <c r="D4" s="2" t="s">
        <v>10</v>
      </c>
      <c r="E4" s="4">
        <v>25</v>
      </c>
      <c r="F4" s="6">
        <f>Table2[[#This Row],[Hourly Rate]]*Table2[[#This Row],[Hours Worked]]</f>
        <v>25</v>
      </c>
    </row>
    <row r="5" spans="1:6">
      <c r="A5" s="3">
        <v>46087</v>
      </c>
      <c r="B5" s="2" t="s">
        <v>9</v>
      </c>
      <c r="C5" s="2">
        <v>1</v>
      </c>
      <c r="D5" s="2" t="s">
        <v>11</v>
      </c>
      <c r="E5" s="4">
        <v>25</v>
      </c>
      <c r="F5" s="6">
        <f>Table2[[#This Row],[Hourly Rate]]*Table2[[#This Row],[Hours Worked]]</f>
        <v>25</v>
      </c>
    </row>
    <row r="6" spans="1:6">
      <c r="A6" s="3">
        <v>46087</v>
      </c>
      <c r="B6" s="2" t="s">
        <v>6</v>
      </c>
      <c r="C6" s="2">
        <v>1</v>
      </c>
      <c r="D6" s="2" t="s">
        <v>12</v>
      </c>
      <c r="E6" s="4">
        <v>25</v>
      </c>
      <c r="F6" s="6">
        <f>Table2[[#This Row],[Hourly Rate]]*Table2[[#This Row],[Hours Worked]]</f>
        <v>25</v>
      </c>
    </row>
    <row r="7" spans="1:6">
      <c r="A7" s="3">
        <v>46087</v>
      </c>
      <c r="B7" s="2" t="s">
        <v>6</v>
      </c>
      <c r="C7" s="2">
        <v>1.5</v>
      </c>
      <c r="D7" s="2" t="s">
        <v>13</v>
      </c>
      <c r="E7" s="4">
        <v>25</v>
      </c>
      <c r="F7" s="6">
        <f>Table2[[#This Row],[Hourly Rate]]*Table2[[#This Row],[Hours Worked]]</f>
        <v>37.5</v>
      </c>
    </row>
    <row r="8" spans="1:6">
      <c r="A8" s="3">
        <v>46094</v>
      </c>
      <c r="B8" s="2" t="s">
        <v>6</v>
      </c>
      <c r="C8" s="2">
        <v>1</v>
      </c>
      <c r="D8" s="2" t="s">
        <v>14</v>
      </c>
      <c r="E8" s="4">
        <v>25</v>
      </c>
      <c r="F8" s="6">
        <f>Table2[[#This Row],[Hourly Rate]]*Table2[[#This Row],[Hours Worked]]</f>
        <v>25</v>
      </c>
    </row>
    <row r="9" spans="1:6">
      <c r="A9" s="3">
        <v>46094</v>
      </c>
      <c r="B9" s="2" t="s">
        <v>6</v>
      </c>
      <c r="C9" s="2">
        <v>1</v>
      </c>
      <c r="D9" s="2" t="s">
        <v>15</v>
      </c>
      <c r="E9" s="4">
        <v>25</v>
      </c>
      <c r="F9" s="6">
        <f>Table2[[#This Row],[Hourly Rate]]*Table2[[#This Row],[Hours Worked]]</f>
        <v>25</v>
      </c>
    </row>
    <row r="10" spans="1:6">
      <c r="A10" s="3">
        <v>46094</v>
      </c>
      <c r="B10" s="2" t="s">
        <v>9</v>
      </c>
      <c r="C10" s="2">
        <v>1</v>
      </c>
      <c r="D10" s="2" t="s">
        <v>16</v>
      </c>
      <c r="E10" s="4">
        <v>25</v>
      </c>
      <c r="F10" s="6">
        <f>Table2[[#This Row],[Hourly Rate]]*Table2[[#This Row],[Hours Worked]]</f>
        <v>25</v>
      </c>
    </row>
    <row r="11" spans="1:6">
      <c r="A11" s="3">
        <v>46094</v>
      </c>
      <c r="B11" s="2" t="s">
        <v>6</v>
      </c>
      <c r="C11" s="2">
        <v>1</v>
      </c>
      <c r="D11" s="2" t="s">
        <v>17</v>
      </c>
      <c r="E11" s="4">
        <v>25</v>
      </c>
      <c r="F11" s="6">
        <f>Table2[[#This Row],[Hourly Rate]]*Table2[[#This Row],[Hours Worked]]</f>
        <v>25</v>
      </c>
    </row>
    <row r="12" spans="1:6">
      <c r="A12" s="3">
        <v>46108</v>
      </c>
      <c r="B12" s="2" t="s">
        <v>6</v>
      </c>
      <c r="C12" s="2">
        <v>2</v>
      </c>
      <c r="D12" s="2" t="s">
        <v>18</v>
      </c>
      <c r="E12" s="4">
        <v>25</v>
      </c>
      <c r="F12" s="6">
        <f>Table2[[#This Row],[Hourly Rate]]*Table2[[#This Row],[Hours Worked]]</f>
        <v>50</v>
      </c>
    </row>
    <row r="13" spans="1:6">
      <c r="A13" s="3">
        <v>46108</v>
      </c>
      <c r="B13" s="2" t="s">
        <v>9</v>
      </c>
      <c r="C13" s="2">
        <v>1</v>
      </c>
      <c r="D13" s="2" t="s">
        <v>19</v>
      </c>
      <c r="E13" s="4">
        <v>25</v>
      </c>
      <c r="F13" s="6">
        <f>Table2[[#This Row],[Hourly Rate]]*Table2[[#This Row],[Hours Worked]]</f>
        <v>25</v>
      </c>
    </row>
    <row r="14" spans="1:6">
      <c r="A14" s="3">
        <v>46110</v>
      </c>
      <c r="B14" s="2" t="s">
        <v>6</v>
      </c>
      <c r="C14" s="2">
        <v>2</v>
      </c>
      <c r="D14" s="2" t="s">
        <v>20</v>
      </c>
      <c r="E14" s="4">
        <v>25</v>
      </c>
      <c r="F14" s="6">
        <f>Table2[[#This Row],[Hourly Rate]]*Table2[[#This Row],[Hours Worked]]</f>
        <v>50</v>
      </c>
    </row>
    <row r="15" spans="1:6">
      <c r="A15" s="3">
        <v>46111</v>
      </c>
      <c r="B15" s="2" t="s">
        <v>9</v>
      </c>
      <c r="C15" s="2">
        <v>1</v>
      </c>
      <c r="D15" s="2" t="s">
        <v>21</v>
      </c>
      <c r="E15" s="4">
        <v>25</v>
      </c>
      <c r="F15" s="6">
        <f>Table2[[#This Row],[Hourly Rate]]*Table2[[#This Row],[Hours Worked]]</f>
        <v>25</v>
      </c>
    </row>
    <row r="16" spans="1:6">
      <c r="A16" s="3">
        <v>46109</v>
      </c>
      <c r="B16" s="2" t="s">
        <v>9</v>
      </c>
      <c r="C16" s="2">
        <v>2</v>
      </c>
      <c r="D16" s="2" t="s">
        <v>22</v>
      </c>
      <c r="E16" s="4">
        <v>25</v>
      </c>
      <c r="F16" s="6">
        <f>Table2[[#This Row],[Hourly Rate]]*Table2[[#This Row],[Hours Worked]]</f>
        <v>50</v>
      </c>
    </row>
    <row r="17" spans="1:6">
      <c r="A17" s="3">
        <v>46109</v>
      </c>
      <c r="B17" s="2" t="s">
        <v>6</v>
      </c>
      <c r="C17" s="2">
        <v>2</v>
      </c>
      <c r="D17" s="2" t="s">
        <v>23</v>
      </c>
      <c r="E17" s="4">
        <v>25</v>
      </c>
      <c r="F17" s="6">
        <f>Table2[[#This Row],[Hourly Rate]]*Table2[[#This Row],[Hours Worked]]</f>
        <v>50</v>
      </c>
    </row>
    <row r="18" spans="1:6">
      <c r="A18" s="3">
        <v>46111</v>
      </c>
      <c r="B18" s="2" t="s">
        <v>9</v>
      </c>
      <c r="C18" s="2">
        <v>1</v>
      </c>
      <c r="D18" s="2" t="s">
        <v>24</v>
      </c>
      <c r="E18" s="4">
        <v>25</v>
      </c>
      <c r="F18" s="6">
        <f>Table2[[#This Row],[Hourly Rate]]*Table2[[#This Row],[Hours Worked]]</f>
        <v>25</v>
      </c>
    </row>
    <row r="19" spans="1:6">
      <c r="A19" s="3"/>
      <c r="B19" s="10" t="s">
        <v>25</v>
      </c>
      <c r="C19" s="10">
        <f>SUM(C2:C18)</f>
        <v>21.5</v>
      </c>
      <c r="D19" s="2"/>
      <c r="E19" s="8" t="s">
        <v>5</v>
      </c>
      <c r="F19" s="9">
        <f>SUM(F2:F18)</f>
        <v>537.5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 Tran</cp:lastModifiedBy>
  <cp:revision/>
  <dcterms:created xsi:type="dcterms:W3CDTF">2026-03-05T04:04:08Z</dcterms:created>
  <dcterms:modified xsi:type="dcterms:W3CDTF">2026-03-27T15:59:47Z</dcterms:modified>
  <cp:category/>
  <cp:contentStatus/>
</cp:coreProperties>
</file>