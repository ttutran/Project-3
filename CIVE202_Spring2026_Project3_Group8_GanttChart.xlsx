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128" documentId="11_3C4179B01545E19DD6C385890107473B0B440F85" xr6:coauthVersionLast="47" xr6:coauthVersionMax="47" xr10:uidLastSave="{6EE1EFAE-6ED7-4B57-B6F8-B711CFB9003B}"/>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1" l="1"/>
  <c r="F25" i="11"/>
  <c r="E27" i="11"/>
  <c r="F27" i="11" s="1"/>
  <c r="E26" i="11"/>
  <c r="E25" i="11"/>
  <c r="E24" i="11"/>
  <c r="F23" i="11"/>
  <c r="E23" i="11"/>
  <c r="F21" i="11"/>
  <c r="E21" i="11"/>
  <c r="E20" i="11"/>
  <c r="F20" i="11"/>
  <c r="E10" i="11"/>
  <c r="E9" i="11"/>
  <c r="H7" i="11"/>
  <c r="F9" i="11" l="1"/>
  <c r="I5" i="11"/>
  <c r="H29" i="11"/>
  <c r="H28" i="11"/>
  <c r="H22" i="11"/>
  <c r="H19" i="11"/>
  <c r="H12" i="11"/>
  <c r="H8" i="11"/>
  <c r="H20" i="11" l="1"/>
  <c r="H21" i="11"/>
  <c r="H9" i="11"/>
  <c r="F10" i="11"/>
  <c r="E11" i="11" s="1"/>
  <c r="I6" i="11"/>
  <c r="H27" i="11" l="1"/>
  <c r="F24" i="11"/>
  <c r="H24" i="11"/>
  <c r="H26" i="11"/>
  <c r="H23" i="11"/>
  <c r="H10" i="11"/>
  <c r="F11" i="11"/>
  <c r="E13" i="11" s="1"/>
  <c r="J5" i="11"/>
  <c r="K5" i="11" s="1"/>
  <c r="L5" i="11" s="1"/>
  <c r="M5" i="11" s="1"/>
  <c r="N5" i="11" s="1"/>
  <c r="O5" i="11" s="1"/>
  <c r="P5" i="11" s="1"/>
  <c r="I4" i="11"/>
  <c r="E14" i="11" l="1"/>
  <c r="F14" i="11" s="1"/>
  <c r="F13" i="11"/>
  <c r="H13" i="11" s="1"/>
  <c r="H25" i="11"/>
  <c r="H14" i="11"/>
  <c r="E15" i="11"/>
  <c r="H11" i="11"/>
  <c r="P4" i="11"/>
  <c r="Q5" i="11"/>
  <c r="R5" i="11" s="1"/>
  <c r="S5" i="11" s="1"/>
  <c r="T5" i="11" s="1"/>
  <c r="U5" i="11" s="1"/>
  <c r="V5" i="11" s="1"/>
  <c r="W5" i="11" s="1"/>
  <c r="J6" i="11"/>
  <c r="E16" i="11" l="1"/>
  <c r="E17" i="11" s="1"/>
  <c r="F15" i="11"/>
  <c r="F16" i="11"/>
  <c r="H16" i="11" s="1"/>
  <c r="H15" i="11"/>
  <c r="W4" i="11"/>
  <c r="X5" i="11"/>
  <c r="Y5" i="11" s="1"/>
  <c r="Z5" i="11" s="1"/>
  <c r="AA5" i="11" s="1"/>
  <c r="AB5" i="11" s="1"/>
  <c r="AC5" i="11" s="1"/>
  <c r="AD5" i="11" s="1"/>
  <c r="K6" i="11"/>
  <c r="E18" i="11" l="1"/>
  <c r="F18" i="11" s="1"/>
  <c r="F17" i="11"/>
  <c r="H17" i="11" s="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<sst xmlns="http://schemas.openxmlformats.org/spreadsheetml/2006/main" count="60" uniqueCount="48">
  <si>
    <t>Project # 3</t>
  </si>
  <si>
    <t>Project start:</t>
  </si>
  <si>
    <t>Display week:</t>
  </si>
  <si>
    <t>TASK</t>
  </si>
  <si>
    <t>MEMBERS</t>
  </si>
  <si>
    <t>PROGRESS</t>
  </si>
  <si>
    <t>START</t>
  </si>
  <si>
    <t>END</t>
  </si>
  <si>
    <t xml:space="preserve">Do not delete this row. This row is hidden to preserve a formula that is used to highlight the current day within the project schedule. </t>
  </si>
  <si>
    <t>Project Planning</t>
  </si>
  <si>
    <t>Review Client Prompt and MetaData</t>
  </si>
  <si>
    <t xml:space="preserve">Jason </t>
  </si>
  <si>
    <t>Indentify Variables</t>
  </si>
  <si>
    <t>Write Scope of Work Draft</t>
  </si>
  <si>
    <t>Jason, Tu</t>
  </si>
  <si>
    <t>Data Cleaning &amp; Visualization</t>
  </si>
  <si>
    <t>Import &amp; Clean NHTS Data</t>
  </si>
  <si>
    <t>Jason</t>
  </si>
  <si>
    <t>Create Bar Chart</t>
  </si>
  <si>
    <t>Tu</t>
  </si>
  <si>
    <t>Create Histogram</t>
  </si>
  <si>
    <t>Create Boxplot</t>
  </si>
  <si>
    <t>Create Two Time-Series Plot</t>
  </si>
  <si>
    <t xml:space="preserve">Customize One Plot </t>
  </si>
  <si>
    <t>Simulation and Documentation</t>
  </si>
  <si>
    <t>Implement Intelligent Drive Model</t>
  </si>
  <si>
    <t>Run Simulation and Plot Trajectories</t>
  </si>
  <si>
    <t>Final Documentation</t>
  </si>
  <si>
    <t xml:space="preserve">Write Methods </t>
  </si>
  <si>
    <t>Write Results and Discussion</t>
  </si>
  <si>
    <t>Prepare Annotated Code Document</t>
  </si>
  <si>
    <t>Prepare Engineering Timesheet</t>
  </si>
  <si>
    <t>Final Review + GitHub Upload</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</si>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</sst>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0">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1"/>
      <color rgb="FF242424"/>
      <name val="Segoe UI"/>
      <charset val="1"/>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5">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0" fontId="20" fillId="6" borderId="0" xfId="0" applyFont="1" applyFill="1" applyAlignment="1">
      <alignment horizontal="left" vertical="center" indent="1"/>
    </xf>
    <xf numFmtId="9" fontId="1" fillId="6" borderId="0" xfId="2" applyFont="1" applyFill="1" applyBorder="1" applyAlignment="1">
      <alignment horizontal="center"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6" fillId="3" borderId="6" xfId="12" applyFont="1" applyFill="1" applyBorder="1">
      <alignment horizontal="left" vertical="center" indent="2"/>
    </xf>
    <xf numFmtId="9" fontId="1" fillId="3" borderId="6" xfId="2" applyFont="1" applyFill="1" applyBorder="1" applyAlignment="1">
      <alignment horizontal="center" vertical="center"/>
    </xf>
    <xf numFmtId="164" fontId="16" fillId="3" borderId="6" xfId="10" applyFont="1" applyFill="1" applyBorder="1">
      <alignment horizontal="center" vertical="center"/>
    </xf>
    <xf numFmtId="0" fontId="4" fillId="0" borderId="4" xfId="0" applyFont="1" applyBorder="1" applyAlignment="1">
      <alignment vertical="center"/>
    </xf>
    <xf numFmtId="0" fontId="16" fillId="3" borderId="7" xfId="12" applyFont="1" applyFill="1" applyBorder="1">
      <alignment horizontal="left" vertical="center" indent="2"/>
    </xf>
    <xf numFmtId="9" fontId="1" fillId="3" borderId="7" xfId="2" applyFont="1" applyFill="1" applyBorder="1" applyAlignment="1">
      <alignment horizontal="center" vertical="center"/>
    </xf>
    <xf numFmtId="164" fontId="16" fillId="3" borderId="7" xfId="10" applyFont="1" applyFill="1" applyBorder="1">
      <alignment horizontal="center" vertical="center"/>
    </xf>
    <xf numFmtId="0" fontId="4" fillId="0" borderId="4" xfId="0" applyFont="1" applyBorder="1" applyAlignment="1">
      <alignment horizontal="right" vertical="center"/>
    </xf>
    <xf numFmtId="0" fontId="20" fillId="7" borderId="0" xfId="0" applyFont="1" applyFill="1" applyAlignment="1">
      <alignment horizontal="left" vertical="center" indent="1"/>
    </xf>
    <xf numFmtId="9" fontId="1" fillId="7" borderId="0" xfId="2" applyFont="1" applyFill="1" applyBorder="1" applyAlignment="1">
      <alignment horizontal="center"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6" fillId="4" borderId="5" xfId="12" applyFont="1" applyFill="1" applyBorder="1">
      <alignment horizontal="left" vertical="center" indent="2"/>
    </xf>
    <xf numFmtId="9" fontId="1" fillId="4" borderId="5" xfId="2" applyFont="1" applyFill="1" applyBorder="1" applyAlignment="1">
      <alignment horizontal="center" vertical="center"/>
    </xf>
    <xf numFmtId="164" fontId="16" fillId="4" borderId="5" xfId="10" applyFont="1" applyFill="1" applyBorder="1">
      <alignment horizontal="center" vertical="center"/>
    </xf>
    <xf numFmtId="0" fontId="20" fillId="8" borderId="0" xfId="0" applyFont="1" applyFill="1" applyAlignment="1">
      <alignment horizontal="left" vertical="center" indent="1"/>
    </xf>
    <xf numFmtId="9" fontId="1" fillId="8" borderId="0" xfId="2" applyFont="1" applyFill="1" applyBorder="1" applyAlignment="1">
      <alignment horizontal="center" vertical="center"/>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6" fillId="5" borderId="8" xfId="12" applyFont="1" applyFill="1" applyBorder="1">
      <alignment horizontal="left" vertical="center" indent="2"/>
    </xf>
    <xf numFmtId="9" fontId="1" fillId="5" borderId="8" xfId="2" applyFont="1" applyFill="1" applyBorder="1" applyAlignment="1">
      <alignment horizontal="center" vertical="center"/>
    </xf>
    <xf numFmtId="164" fontId="16" fillId="5" borderId="8" xfId="10" applyFont="1" applyFill="1" applyBorder="1">
      <alignment horizontal="center" vertical="center"/>
    </xf>
    <xf numFmtId="0" fontId="20" fillId="9" borderId="0" xfId="0" applyFont="1" applyFill="1" applyAlignment="1">
      <alignment horizontal="left" vertical="center" indent="1"/>
    </xf>
    <xf numFmtId="9" fontId="1" fillId="9" borderId="0" xfId="2" applyFont="1" applyFill="1" applyBorder="1" applyAlignment="1">
      <alignment horizontal="center" vertical="center"/>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6" fillId="10" borderId="9" xfId="12" applyFont="1" applyFill="1" applyBorder="1">
      <alignment horizontal="left" vertical="center" indent="2"/>
    </xf>
    <xf numFmtId="9" fontId="1" fillId="10" borderId="9" xfId="2" applyFont="1" applyFill="1" applyBorder="1" applyAlignment="1">
      <alignment horizontal="center" vertical="center"/>
    </xf>
    <xf numFmtId="164" fontId="16" fillId="10" borderId="9" xfId="10" applyFont="1" applyFill="1" applyBorder="1">
      <alignment horizontal="center" vertical="center"/>
    </xf>
    <xf numFmtId="0" fontId="16" fillId="0" borderId="0" xfId="12" applyFont="1" applyBorder="1">
      <alignment horizontal="left" vertical="center" indent="2"/>
    </xf>
    <xf numFmtId="9" fontId="1" fillId="0" borderId="0" xfId="2" applyFont="1" applyBorder="1" applyAlignment="1">
      <alignment horizontal="center" vertical="center"/>
    </xf>
    <xf numFmtId="164" fontId="16" fillId="0" borderId="0" xfId="10" applyFont="1" applyBorder="1">
      <alignment horizontal="center" vertical="center"/>
    </xf>
    <xf numFmtId="0" fontId="21" fillId="2" borderId="0" xfId="0" applyFont="1" applyFill="1" applyAlignment="1">
      <alignment horizontal="left" vertical="center" indent="1"/>
    </xf>
    <xf numFmtId="9" fontId="1" fillId="2" borderId="0" xfId="2" applyFont="1" applyFill="1" applyBorder="1" applyAlignment="1">
      <alignment horizontal="center" vertical="center"/>
    </xf>
    <xf numFmtId="164" fontId="22"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3" fillId="0" borderId="0" xfId="0" applyFont="1" applyAlignment="1">
      <alignment horizontal="left" vertical="center" indent="1"/>
    </xf>
    <xf numFmtId="0" fontId="27" fillId="0" borderId="0" xfId="0" applyFont="1" applyAlignment="1">
      <alignment horizontal="left" vertical="top" wrapText="1" indent="1"/>
    </xf>
    <xf numFmtId="0" fontId="0" fillId="0" borderId="0" xfId="0" applyAlignment="1">
      <alignment horizontal="left" vertical="top" wrapText="1" indent="1"/>
    </xf>
    <xf numFmtId="0" fontId="28" fillId="0" borderId="0" xfId="1" applyFont="1" applyAlignment="1" applyProtection="1">
      <alignment horizontal="left" vertical="top" indent="1"/>
    </xf>
    <xf numFmtId="0" fontId="1" fillId="0" borderId="0" xfId="0" applyFont="1" applyAlignment="1">
      <alignment horizontal="left" vertical="top" indent="1"/>
    </xf>
    <xf numFmtId="0" fontId="29" fillId="0" borderId="0" xfId="0" applyFont="1"/>
    <xf numFmtId="0" fontId="16" fillId="4" borderId="0" xfId="12" applyFont="1" applyFill="1" applyBorder="1">
      <alignment horizontal="left" vertical="center" indent="2"/>
    </xf>
    <xf numFmtId="166" fontId="16" fillId="2" borderId="13"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0" fontId="17" fillId="11" borderId="16" xfId="0" applyFont="1" applyFill="1" applyBorder="1" applyAlignment="1">
      <alignment horizontal="center" vertical="center"/>
    </xf>
    <xf numFmtId="0" fontId="24" fillId="0" borderId="0" xfId="0" applyFont="1" applyAlignment="1">
      <alignment horizontal="left"/>
    </xf>
    <xf numFmtId="165" fontId="24" fillId="0" borderId="0" xfId="9" applyFont="1" applyBorder="1" applyAlignment="1">
      <alignment horizontal="left"/>
    </xf>
    <xf numFmtId="0" fontId="23" fillId="0" borderId="0" xfId="8" applyFont="1" applyAlignment="1">
      <alignment horizontal="left"/>
    </xf>
    <xf numFmtId="0" fontId="11" fillId="0" borderId="0" xfId="3"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21" xfId="0" applyFont="1" applyFill="1" applyBorder="1" applyAlignment="1">
      <alignment horizontal="left" vertical="center" indent="1"/>
    </xf>
    <xf numFmtId="0" fontId="4" fillId="0" borderId="0" xfId="0" applyFont="1" applyAlignment="1"/>
    <xf numFmtId="0" fontId="25"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1"/>
  <sheetViews>
    <sheetView showGridLines="0" tabSelected="1" showRuler="0" zoomScaleNormal="100" zoomScalePageLayoutView="70" workbookViewId="0">
      <selection activeCell="F27" sqref="F27"/>
    </sheetView>
  </sheetViews>
  <sheetFormatPr defaultColWidth="8.75" defaultRowHeight="30" customHeight="1"/>
  <cols>
    <col min="1" max="1" width="2.75" style="12" customWidth="1"/>
    <col min="2" max="3" width="31.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3"/>
      <c r="B1" s="81" t="s">
        <v>0</v>
      </c>
      <c r="C1" s="81"/>
      <c r="D1" s="16"/>
      <c r="E1" s="17"/>
      <c r="F1" s="18"/>
      <c r="H1" s="1"/>
      <c r="I1" s="97" t="s">
        <v>1</v>
      </c>
      <c r="J1" s="102"/>
      <c r="K1" s="102"/>
      <c r="L1" s="102"/>
      <c r="M1" s="102"/>
      <c r="N1" s="102"/>
      <c r="O1" s="102"/>
      <c r="P1" s="21"/>
      <c r="Q1" s="96">
        <v>46076</v>
      </c>
      <c r="R1" s="103"/>
      <c r="S1" s="103"/>
      <c r="T1" s="103"/>
      <c r="U1" s="103"/>
      <c r="V1" s="103"/>
      <c r="W1" s="103"/>
      <c r="X1" s="103"/>
      <c r="Y1" s="103"/>
      <c r="Z1" s="103"/>
    </row>
    <row r="2" spans="1:64" ht="30" customHeight="1">
      <c r="B2" s="89"/>
      <c r="C2" s="89"/>
      <c r="D2" s="19"/>
      <c r="E2" s="20"/>
      <c r="F2" s="19"/>
      <c r="I2" s="97" t="s">
        <v>2</v>
      </c>
      <c r="J2" s="102"/>
      <c r="K2" s="102"/>
      <c r="L2" s="102"/>
      <c r="M2" s="102"/>
      <c r="N2" s="102"/>
      <c r="O2" s="102"/>
      <c r="P2" s="21"/>
      <c r="Q2" s="95">
        <v>1</v>
      </c>
      <c r="R2" s="103"/>
      <c r="S2" s="103"/>
      <c r="T2" s="103"/>
      <c r="U2" s="103"/>
      <c r="V2" s="103"/>
      <c r="W2" s="103"/>
      <c r="X2" s="103"/>
      <c r="Y2" s="103"/>
      <c r="Z2" s="103"/>
    </row>
    <row r="3" spans="1:64" s="23" customFormat="1" ht="30" customHeight="1">
      <c r="A3" s="12"/>
      <c r="B3" s="22"/>
      <c r="C3" s="22"/>
      <c r="D3" s="24"/>
      <c r="E3" s="25"/>
    </row>
    <row r="4" spans="1:64" s="23" customFormat="1" ht="30" customHeight="1">
      <c r="A4" s="13"/>
      <c r="B4" s="26"/>
      <c r="C4" s="26"/>
      <c r="E4" s="27"/>
      <c r="I4" s="93">
        <f>I5</f>
        <v>46076</v>
      </c>
      <c r="J4" s="91"/>
      <c r="K4" s="91"/>
      <c r="L4" s="91"/>
      <c r="M4" s="91"/>
      <c r="N4" s="91"/>
      <c r="O4" s="91"/>
      <c r="P4" s="91">
        <f>P5</f>
        <v>46083</v>
      </c>
      <c r="Q4" s="91"/>
      <c r="R4" s="91"/>
      <c r="S4" s="91"/>
      <c r="T4" s="91"/>
      <c r="U4" s="91"/>
      <c r="V4" s="91"/>
      <c r="W4" s="91">
        <f>W5</f>
        <v>46090</v>
      </c>
      <c r="X4" s="91"/>
      <c r="Y4" s="91"/>
      <c r="Z4" s="91"/>
      <c r="AA4" s="91"/>
      <c r="AB4" s="91"/>
      <c r="AC4" s="91"/>
      <c r="AD4" s="91">
        <f>AD5</f>
        <v>46097</v>
      </c>
      <c r="AE4" s="91"/>
      <c r="AF4" s="91"/>
      <c r="AG4" s="91"/>
      <c r="AH4" s="91"/>
      <c r="AI4" s="91"/>
      <c r="AJ4" s="91"/>
      <c r="AK4" s="91">
        <f>AK5</f>
        <v>46104</v>
      </c>
      <c r="AL4" s="91"/>
      <c r="AM4" s="91"/>
      <c r="AN4" s="91"/>
      <c r="AO4" s="91"/>
      <c r="AP4" s="91"/>
      <c r="AQ4" s="91"/>
      <c r="AR4" s="91">
        <f>AR5</f>
        <v>46111</v>
      </c>
      <c r="AS4" s="91"/>
      <c r="AT4" s="91"/>
      <c r="AU4" s="91"/>
      <c r="AV4" s="91"/>
      <c r="AW4" s="91"/>
      <c r="AX4" s="91"/>
      <c r="AY4" s="91">
        <f>AY5</f>
        <v>46118</v>
      </c>
      <c r="AZ4" s="91"/>
      <c r="BA4" s="91"/>
      <c r="BB4" s="91"/>
      <c r="BC4" s="91"/>
      <c r="BD4" s="91"/>
      <c r="BE4" s="91"/>
      <c r="BF4" s="91">
        <f>BF5</f>
        <v>46125</v>
      </c>
      <c r="BG4" s="91"/>
      <c r="BH4" s="91"/>
      <c r="BI4" s="91"/>
      <c r="BJ4" s="91"/>
      <c r="BK4" s="91"/>
      <c r="BL4" s="92"/>
    </row>
    <row r="5" spans="1:64" s="23" customFormat="1" ht="15" customHeight="1">
      <c r="A5" s="98"/>
      <c r="B5" s="99" t="s">
        <v>3</v>
      </c>
      <c r="C5" s="99" t="s">
        <v>4</v>
      </c>
      <c r="D5" s="94" t="s">
        <v>5</v>
      </c>
      <c r="E5" s="94" t="s">
        <v>6</v>
      </c>
      <c r="F5" s="94" t="s">
        <v>7</v>
      </c>
      <c r="I5" s="28">
        <f>Project_Start-WEEKDAY(Project_Start,1)+2+7*(Display_Week-1)</f>
        <v>46076</v>
      </c>
      <c r="J5" s="28">
        <f>I5+1</f>
        <v>46077</v>
      </c>
      <c r="K5" s="28">
        <f t="shared" ref="K5:AX5" si="0">J5+1</f>
        <v>46078</v>
      </c>
      <c r="L5" s="28">
        <f t="shared" si="0"/>
        <v>46079</v>
      </c>
      <c r="M5" s="28">
        <f t="shared" si="0"/>
        <v>46080</v>
      </c>
      <c r="N5" s="28">
        <f t="shared" si="0"/>
        <v>46081</v>
      </c>
      <c r="O5" s="29">
        <f t="shared" si="0"/>
        <v>46082</v>
      </c>
      <c r="P5" s="30">
        <f>O5+1</f>
        <v>46083</v>
      </c>
      <c r="Q5" s="28">
        <f>P5+1</f>
        <v>46084</v>
      </c>
      <c r="R5" s="28">
        <f t="shared" si="0"/>
        <v>46085</v>
      </c>
      <c r="S5" s="28">
        <f t="shared" si="0"/>
        <v>46086</v>
      </c>
      <c r="T5" s="28">
        <f t="shared" si="0"/>
        <v>46087</v>
      </c>
      <c r="U5" s="28">
        <f t="shared" si="0"/>
        <v>46088</v>
      </c>
      <c r="V5" s="29">
        <f t="shared" si="0"/>
        <v>46089</v>
      </c>
      <c r="W5" s="30">
        <f>V5+1</f>
        <v>46090</v>
      </c>
      <c r="X5" s="28">
        <f>W5+1</f>
        <v>46091</v>
      </c>
      <c r="Y5" s="28">
        <f t="shared" si="0"/>
        <v>46092</v>
      </c>
      <c r="Z5" s="28">
        <f t="shared" si="0"/>
        <v>46093</v>
      </c>
      <c r="AA5" s="28">
        <f t="shared" si="0"/>
        <v>46094</v>
      </c>
      <c r="AB5" s="28">
        <f t="shared" si="0"/>
        <v>46095</v>
      </c>
      <c r="AC5" s="29">
        <f t="shared" si="0"/>
        <v>46096</v>
      </c>
      <c r="AD5" s="30">
        <f>AC5+1</f>
        <v>46097</v>
      </c>
      <c r="AE5" s="28">
        <f>AD5+1</f>
        <v>46098</v>
      </c>
      <c r="AF5" s="28">
        <f t="shared" si="0"/>
        <v>46099</v>
      </c>
      <c r="AG5" s="28">
        <f t="shared" si="0"/>
        <v>46100</v>
      </c>
      <c r="AH5" s="28">
        <f t="shared" si="0"/>
        <v>46101</v>
      </c>
      <c r="AI5" s="28">
        <f t="shared" si="0"/>
        <v>46102</v>
      </c>
      <c r="AJ5" s="29">
        <f t="shared" si="0"/>
        <v>46103</v>
      </c>
      <c r="AK5" s="30">
        <f>AJ5+1</f>
        <v>46104</v>
      </c>
      <c r="AL5" s="28">
        <f>AK5+1</f>
        <v>46105</v>
      </c>
      <c r="AM5" s="28">
        <f t="shared" si="0"/>
        <v>46106</v>
      </c>
      <c r="AN5" s="28">
        <f t="shared" si="0"/>
        <v>46107</v>
      </c>
      <c r="AO5" s="28">
        <f t="shared" si="0"/>
        <v>46108</v>
      </c>
      <c r="AP5" s="28">
        <f t="shared" si="0"/>
        <v>46109</v>
      </c>
      <c r="AQ5" s="29">
        <f t="shared" si="0"/>
        <v>46110</v>
      </c>
      <c r="AR5" s="30">
        <f>AQ5+1</f>
        <v>46111</v>
      </c>
      <c r="AS5" s="28">
        <f>AR5+1</f>
        <v>46112</v>
      </c>
      <c r="AT5" s="28">
        <f t="shared" si="0"/>
        <v>46113</v>
      </c>
      <c r="AU5" s="28">
        <f t="shared" si="0"/>
        <v>46114</v>
      </c>
      <c r="AV5" s="28">
        <f t="shared" si="0"/>
        <v>46115</v>
      </c>
      <c r="AW5" s="28">
        <f t="shared" si="0"/>
        <v>46116</v>
      </c>
      <c r="AX5" s="29">
        <f t="shared" si="0"/>
        <v>46117</v>
      </c>
      <c r="AY5" s="30">
        <f>AX5+1</f>
        <v>46118</v>
      </c>
      <c r="AZ5" s="28">
        <f>AY5+1</f>
        <v>46119</v>
      </c>
      <c r="BA5" s="28">
        <f t="shared" ref="BA5:BE5" si="1">AZ5+1</f>
        <v>46120</v>
      </c>
      <c r="BB5" s="28">
        <f t="shared" si="1"/>
        <v>46121</v>
      </c>
      <c r="BC5" s="28">
        <f t="shared" si="1"/>
        <v>46122</v>
      </c>
      <c r="BD5" s="28">
        <f t="shared" si="1"/>
        <v>46123</v>
      </c>
      <c r="BE5" s="29">
        <f t="shared" si="1"/>
        <v>46124</v>
      </c>
      <c r="BF5" s="30">
        <f>BE5+1</f>
        <v>46125</v>
      </c>
      <c r="BG5" s="28">
        <f>BF5+1</f>
        <v>46126</v>
      </c>
      <c r="BH5" s="28">
        <f t="shared" ref="BH5:BL5" si="2">BG5+1</f>
        <v>46127</v>
      </c>
      <c r="BI5" s="28">
        <f t="shared" si="2"/>
        <v>46128</v>
      </c>
      <c r="BJ5" s="28">
        <f t="shared" si="2"/>
        <v>46129</v>
      </c>
      <c r="BK5" s="28">
        <f t="shared" si="2"/>
        <v>46130</v>
      </c>
      <c r="BL5" s="28">
        <f t="shared" si="2"/>
        <v>46131</v>
      </c>
    </row>
    <row r="6" spans="1:64" s="23" customFormat="1" ht="15" customHeight="1">
      <c r="A6" s="98"/>
      <c r="B6" s="100"/>
      <c r="C6" s="101"/>
      <c r="D6" s="104"/>
      <c r="E6" s="104"/>
      <c r="F6" s="104"/>
      <c r="I6" s="31" t="str">
        <f t="shared" ref="I6:AN6" si="3">LEFT(TEXT(I5,"ddd"),1)</f>
        <v>M</v>
      </c>
      <c r="J6" s="32" t="str">
        <f t="shared" si="3"/>
        <v>T</v>
      </c>
      <c r="K6" s="32" t="str">
        <f t="shared" si="3"/>
        <v>W</v>
      </c>
      <c r="L6" s="32" t="str">
        <f t="shared" si="3"/>
        <v>T</v>
      </c>
      <c r="M6" s="32" t="str">
        <f t="shared" si="3"/>
        <v>F</v>
      </c>
      <c r="N6" s="32" t="str">
        <f t="shared" si="3"/>
        <v>S</v>
      </c>
      <c r="O6" s="32" t="str">
        <f t="shared" si="3"/>
        <v>S</v>
      </c>
      <c r="P6" s="32" t="str">
        <f t="shared" si="3"/>
        <v>M</v>
      </c>
      <c r="Q6" s="32" t="str">
        <f t="shared" si="3"/>
        <v>T</v>
      </c>
      <c r="R6" s="32" t="str">
        <f t="shared" si="3"/>
        <v>W</v>
      </c>
      <c r="S6" s="32" t="str">
        <f t="shared" si="3"/>
        <v>T</v>
      </c>
      <c r="T6" s="32" t="str">
        <f t="shared" si="3"/>
        <v>F</v>
      </c>
      <c r="U6" s="32" t="str">
        <f t="shared" si="3"/>
        <v>S</v>
      </c>
      <c r="V6" s="32" t="str">
        <f t="shared" si="3"/>
        <v>S</v>
      </c>
      <c r="W6" s="32" t="str">
        <f t="shared" si="3"/>
        <v>M</v>
      </c>
      <c r="X6" s="32" t="str">
        <f t="shared" si="3"/>
        <v>T</v>
      </c>
      <c r="Y6" s="32" t="str">
        <f t="shared" si="3"/>
        <v>W</v>
      </c>
      <c r="Z6" s="32" t="str">
        <f t="shared" si="3"/>
        <v>T</v>
      </c>
      <c r="AA6" s="32" t="str">
        <f t="shared" si="3"/>
        <v>F</v>
      </c>
      <c r="AB6" s="32" t="str">
        <f t="shared" si="3"/>
        <v>S</v>
      </c>
      <c r="AC6" s="32" t="str">
        <f t="shared" si="3"/>
        <v>S</v>
      </c>
      <c r="AD6" s="32" t="str">
        <f t="shared" si="3"/>
        <v>M</v>
      </c>
      <c r="AE6" s="32" t="str">
        <f t="shared" si="3"/>
        <v>T</v>
      </c>
      <c r="AF6" s="32" t="str">
        <f t="shared" si="3"/>
        <v>W</v>
      </c>
      <c r="AG6" s="32" t="str">
        <f t="shared" si="3"/>
        <v>T</v>
      </c>
      <c r="AH6" s="32" t="str">
        <f t="shared" si="3"/>
        <v>F</v>
      </c>
      <c r="AI6" s="32" t="str">
        <f t="shared" si="3"/>
        <v>S</v>
      </c>
      <c r="AJ6" s="32" t="str">
        <f t="shared" si="3"/>
        <v>S</v>
      </c>
      <c r="AK6" s="32" t="str">
        <f t="shared" si="3"/>
        <v>M</v>
      </c>
      <c r="AL6" s="32" t="str">
        <f t="shared" si="3"/>
        <v>T</v>
      </c>
      <c r="AM6" s="32" t="str">
        <f t="shared" si="3"/>
        <v>W</v>
      </c>
      <c r="AN6" s="32" t="str">
        <f t="shared" si="3"/>
        <v>T</v>
      </c>
      <c r="AO6" s="32" t="str">
        <f t="shared" ref="AO6:BL6" si="4">LEFT(TEXT(AO5,"ddd"),1)</f>
        <v>F</v>
      </c>
      <c r="AP6" s="32" t="str">
        <f t="shared" si="4"/>
        <v>S</v>
      </c>
      <c r="AQ6" s="32" t="str">
        <f t="shared" si="4"/>
        <v>S</v>
      </c>
      <c r="AR6" s="32" t="str">
        <f t="shared" si="4"/>
        <v>M</v>
      </c>
      <c r="AS6" s="32" t="str">
        <f t="shared" si="4"/>
        <v>T</v>
      </c>
      <c r="AT6" s="32" t="str">
        <f t="shared" si="4"/>
        <v>W</v>
      </c>
      <c r="AU6" s="32" t="str">
        <f t="shared" si="4"/>
        <v>T</v>
      </c>
      <c r="AV6" s="32" t="str">
        <f t="shared" si="4"/>
        <v>F</v>
      </c>
      <c r="AW6" s="32" t="str">
        <f t="shared" si="4"/>
        <v>S</v>
      </c>
      <c r="AX6" s="32" t="str">
        <f t="shared" si="4"/>
        <v>S</v>
      </c>
      <c r="AY6" s="32" t="str">
        <f t="shared" si="4"/>
        <v>M</v>
      </c>
      <c r="AZ6" s="32" t="str">
        <f t="shared" si="4"/>
        <v>T</v>
      </c>
      <c r="BA6" s="32" t="str">
        <f t="shared" si="4"/>
        <v>W</v>
      </c>
      <c r="BB6" s="32" t="str">
        <f t="shared" si="4"/>
        <v>T</v>
      </c>
      <c r="BC6" s="32" t="str">
        <f t="shared" si="4"/>
        <v>F</v>
      </c>
      <c r="BD6" s="32" t="str">
        <f t="shared" si="4"/>
        <v>S</v>
      </c>
      <c r="BE6" s="32" t="str">
        <f t="shared" si="4"/>
        <v>S</v>
      </c>
      <c r="BF6" s="32" t="str">
        <f t="shared" si="4"/>
        <v>M</v>
      </c>
      <c r="BG6" s="32" t="str">
        <f t="shared" si="4"/>
        <v>T</v>
      </c>
      <c r="BH6" s="32" t="str">
        <f t="shared" si="4"/>
        <v>W</v>
      </c>
      <c r="BI6" s="32" t="str">
        <f t="shared" si="4"/>
        <v>T</v>
      </c>
      <c r="BJ6" s="32" t="str">
        <f t="shared" si="4"/>
        <v>F</v>
      </c>
      <c r="BK6" s="32" t="str">
        <f t="shared" si="4"/>
        <v>S</v>
      </c>
      <c r="BL6" s="33" t="str">
        <f t="shared" si="4"/>
        <v>S</v>
      </c>
    </row>
    <row r="7" spans="1:64" s="23" customFormat="1" ht="30" hidden="1" customHeight="1">
      <c r="A7" s="12" t="s">
        <v>8</v>
      </c>
      <c r="B7" s="34"/>
      <c r="C7" s="34"/>
      <c r="D7" s="34"/>
      <c r="E7" s="34"/>
      <c r="F7" s="34"/>
      <c r="H7" s="23" t="str">
        <f ca="1">IF(OR(ISBLANK(task_start),ISBLANK(task_end)),"",task_end-task_start+1)</f>
        <v/>
      </c>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row>
    <row r="8" spans="1:64" s="41" customFormat="1" ht="30" customHeight="1">
      <c r="A8" s="13"/>
      <c r="B8" s="36" t="s">
        <v>9</v>
      </c>
      <c r="C8" s="36"/>
      <c r="D8" s="37"/>
      <c r="E8" s="38"/>
      <c r="F8" s="39"/>
      <c r="G8" s="15"/>
      <c r="H8" s="4" t="str">
        <f t="shared" ref="H8:H29" ca="1" si="5">IF(OR(ISBLANK(task_start),ISBLANK(task_end)),"",task_end-task_start+1)</f>
        <v/>
      </c>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row>
    <row r="9" spans="1:64" s="41" customFormat="1" ht="30" customHeight="1">
      <c r="A9" s="13"/>
      <c r="B9" s="42" t="s">
        <v>10</v>
      </c>
      <c r="C9" s="42" t="s">
        <v>11</v>
      </c>
      <c r="D9" s="43">
        <v>1</v>
      </c>
      <c r="E9" s="44">
        <f>Project_Start</f>
        <v>46076</v>
      </c>
      <c r="F9" s="44">
        <f>E9+3</f>
        <v>46079</v>
      </c>
      <c r="G9" s="15"/>
      <c r="H9" s="4">
        <f t="shared" ca="1" si="5"/>
        <v>4</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1" customFormat="1" ht="30" customHeight="1">
      <c r="A10" s="13"/>
      <c r="B10" s="46" t="s">
        <v>12</v>
      </c>
      <c r="C10" s="46" t="s">
        <v>11</v>
      </c>
      <c r="D10" s="47">
        <v>1</v>
      </c>
      <c r="E10" s="48">
        <f>F9+2</f>
        <v>46081</v>
      </c>
      <c r="F10" s="48">
        <f>E10+2</f>
        <v>46083</v>
      </c>
      <c r="G10" s="15"/>
      <c r="H10" s="4">
        <f t="shared" ca="1" si="5"/>
        <v>3</v>
      </c>
      <c r="I10" s="45"/>
      <c r="J10" s="45"/>
      <c r="K10" s="45"/>
      <c r="L10" s="45"/>
      <c r="M10" s="45"/>
      <c r="N10" s="45"/>
      <c r="O10" s="45"/>
      <c r="P10" s="45"/>
      <c r="Q10" s="45"/>
      <c r="R10" s="45"/>
      <c r="S10" s="45"/>
      <c r="T10" s="45"/>
      <c r="U10" s="49"/>
      <c r="V10" s="49"/>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1" customFormat="1" ht="30" customHeight="1">
      <c r="A11" s="12"/>
      <c r="B11" s="46" t="s">
        <v>13</v>
      </c>
      <c r="C11" s="46" t="s">
        <v>14</v>
      </c>
      <c r="D11" s="47">
        <v>1</v>
      </c>
      <c r="E11" s="48">
        <f>F10</f>
        <v>46083</v>
      </c>
      <c r="F11" s="48">
        <f>E11+4</f>
        <v>46087</v>
      </c>
      <c r="G11" s="15"/>
      <c r="H11" s="4">
        <f t="shared" ca="1" si="5"/>
        <v>5</v>
      </c>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K11" s="45"/>
      <c r="BL11" s="45"/>
    </row>
    <row r="12" spans="1:64" s="41" customFormat="1" ht="30" customHeight="1">
      <c r="A12" s="13"/>
      <c r="B12" s="50" t="s">
        <v>15</v>
      </c>
      <c r="C12" s="50"/>
      <c r="D12" s="51"/>
      <c r="E12" s="52"/>
      <c r="F12" s="53"/>
      <c r="G12" s="15"/>
      <c r="H12" s="4" t="str">
        <f t="shared" ca="1" si="5"/>
        <v/>
      </c>
    </row>
    <row r="13" spans="1:64" s="41" customFormat="1" ht="30" customHeight="1">
      <c r="A13" s="13"/>
      <c r="B13" s="54" t="s">
        <v>16</v>
      </c>
      <c r="C13" s="54" t="s">
        <v>17</v>
      </c>
      <c r="D13" s="55">
        <v>1</v>
      </c>
      <c r="E13" s="56">
        <f>F11</f>
        <v>46087</v>
      </c>
      <c r="F13" s="56">
        <f>E13+4</f>
        <v>46091</v>
      </c>
      <c r="G13" s="15"/>
      <c r="H13" s="4">
        <f t="shared" ca="1" si="5"/>
        <v>5</v>
      </c>
      <c r="I13" s="45"/>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1" customFormat="1" ht="30" customHeight="1">
      <c r="A14" s="12"/>
      <c r="B14" s="54" t="s">
        <v>18</v>
      </c>
      <c r="C14" s="54" t="s">
        <v>19</v>
      </c>
      <c r="D14" s="55">
        <v>1</v>
      </c>
      <c r="E14" s="56">
        <f>E13+2</f>
        <v>46089</v>
      </c>
      <c r="F14" s="56">
        <f>E14+5</f>
        <v>46094</v>
      </c>
      <c r="G14" s="15"/>
      <c r="H14" s="4">
        <f t="shared" ca="1" si="5"/>
        <v>6</v>
      </c>
      <c r="I14" s="45"/>
      <c r="J14" s="45"/>
      <c r="K14" s="45"/>
      <c r="L14" s="45"/>
      <c r="M14" s="45"/>
      <c r="N14" s="45"/>
      <c r="O14" s="45"/>
      <c r="P14" s="45"/>
      <c r="Q14" s="45"/>
      <c r="R14" s="45"/>
      <c r="S14" s="45"/>
      <c r="T14" s="45"/>
      <c r="U14" s="49"/>
      <c r="V14" s="49"/>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1" customFormat="1" ht="30" customHeight="1">
      <c r="A15" s="12"/>
      <c r="B15" s="54" t="s">
        <v>20</v>
      </c>
      <c r="C15" s="54" t="s">
        <v>17</v>
      </c>
      <c r="D15" s="55">
        <v>1</v>
      </c>
      <c r="E15" s="56">
        <f>F14</f>
        <v>46094</v>
      </c>
      <c r="F15" s="56">
        <f>E15+2</f>
        <v>46096</v>
      </c>
      <c r="G15" s="15"/>
      <c r="H15" s="4">
        <f t="shared" ca="1" si="5"/>
        <v>3</v>
      </c>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K15" s="45"/>
      <c r="BL15" s="45"/>
    </row>
    <row r="16" spans="1:64" s="41" customFormat="1" ht="30" customHeight="1">
      <c r="A16" s="12"/>
      <c r="B16" s="54" t="s">
        <v>21</v>
      </c>
      <c r="C16" s="54" t="s">
        <v>19</v>
      </c>
      <c r="D16" s="55">
        <v>1</v>
      </c>
      <c r="E16" s="56">
        <f>E15</f>
        <v>46094</v>
      </c>
      <c r="F16" s="56">
        <f>E16+2</f>
        <v>46096</v>
      </c>
      <c r="G16" s="15"/>
      <c r="H16" s="4">
        <f t="shared" ca="1" si="5"/>
        <v>3</v>
      </c>
      <c r="I16" s="45"/>
      <c r="J16" s="45"/>
      <c r="K16" s="45"/>
      <c r="L16" s="45"/>
      <c r="M16" s="45"/>
      <c r="N16" s="45"/>
      <c r="O16" s="45"/>
      <c r="P16" s="45"/>
      <c r="Q16" s="45"/>
      <c r="R16" s="45"/>
      <c r="S16" s="45"/>
      <c r="T16" s="45"/>
      <c r="U16" s="45"/>
      <c r="V16" s="45"/>
      <c r="W16" s="45"/>
      <c r="X16" s="45"/>
      <c r="Y16" s="49"/>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1" customFormat="1" ht="30" customHeight="1">
      <c r="A17" s="12"/>
      <c r="B17" s="54" t="s">
        <v>22</v>
      </c>
      <c r="C17" s="54" t="s">
        <v>11</v>
      </c>
      <c r="D17" s="55">
        <v>1</v>
      </c>
      <c r="E17" s="56">
        <f>E16</f>
        <v>46094</v>
      </c>
      <c r="F17" s="56">
        <f>E17+2</f>
        <v>46096</v>
      </c>
      <c r="G17" s="15"/>
      <c r="H17" s="4">
        <f t="shared" ca="1" si="5"/>
        <v>3</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1" customFormat="1" ht="30" customHeight="1">
      <c r="A18" s="12"/>
      <c r="B18" s="90" t="s">
        <v>23</v>
      </c>
      <c r="C18" s="90" t="s">
        <v>19</v>
      </c>
      <c r="D18" s="55">
        <v>1</v>
      </c>
      <c r="E18" s="56">
        <f>E17</f>
        <v>46094</v>
      </c>
      <c r="F18" s="56">
        <f>E18+2</f>
        <v>46096</v>
      </c>
      <c r="G18" s="15"/>
      <c r="H18" s="4"/>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c r="AL18" s="61"/>
      <c r="AM18" s="61"/>
      <c r="AN18" s="61"/>
      <c r="AO18" s="61"/>
      <c r="AP18" s="61"/>
      <c r="AQ18" s="61"/>
      <c r="AR18" s="61"/>
      <c r="AS18" s="61"/>
      <c r="AT18" s="61"/>
      <c r="AU18" s="61"/>
      <c r="AV18" s="61"/>
      <c r="AW18" s="61"/>
      <c r="AX18" s="61"/>
      <c r="AY18" s="61"/>
      <c r="AZ18" s="61"/>
      <c r="BA18" s="61"/>
      <c r="BB18" s="61"/>
      <c r="BC18" s="61"/>
      <c r="BD18" s="61"/>
      <c r="BE18" s="61"/>
      <c r="BF18" s="61"/>
      <c r="BG18" s="61"/>
      <c r="BH18" s="61"/>
      <c r="BI18" s="61"/>
      <c r="BJ18" s="61"/>
      <c r="BK18" s="61"/>
      <c r="BL18" s="61"/>
    </row>
    <row r="19" spans="1:64" s="41" customFormat="1" ht="30" customHeight="1">
      <c r="A19" s="12"/>
      <c r="B19" s="57" t="s">
        <v>24</v>
      </c>
      <c r="C19" s="57"/>
      <c r="D19" s="58"/>
      <c r="E19" s="59"/>
      <c r="F19" s="60"/>
      <c r="G19" s="15"/>
      <c r="H19" s="4" t="str">
        <f t="shared" ca="1" si="5"/>
        <v/>
      </c>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c r="AL19" s="61"/>
      <c r="AM19" s="61"/>
      <c r="AN19" s="61"/>
      <c r="AO19" s="61"/>
      <c r="AP19" s="61"/>
      <c r="AQ19" s="61"/>
      <c r="AR19" s="61"/>
      <c r="AS19" s="61"/>
      <c r="AT19" s="61"/>
      <c r="AU19" s="61"/>
      <c r="AV19" s="61"/>
      <c r="AW19" s="61"/>
      <c r="AX19" s="61"/>
      <c r="AY19" s="61"/>
      <c r="AZ19" s="61"/>
      <c r="BA19" s="61"/>
      <c r="BB19" s="61"/>
      <c r="BC19" s="61"/>
      <c r="BD19" s="61"/>
      <c r="BE19" s="61"/>
      <c r="BF19" s="61"/>
      <c r="BG19" s="61"/>
      <c r="BH19" s="61"/>
      <c r="BI19" s="61"/>
      <c r="BJ19" s="61"/>
      <c r="BK19" s="61"/>
      <c r="BL19" s="61"/>
    </row>
    <row r="20" spans="1:64" s="41" customFormat="1" ht="30" customHeight="1">
      <c r="A20" s="12"/>
      <c r="B20" s="62" t="s">
        <v>25</v>
      </c>
      <c r="C20" s="62" t="s">
        <v>14</v>
      </c>
      <c r="D20" s="63">
        <v>1</v>
      </c>
      <c r="E20" s="64">
        <f>E18+14</f>
        <v>46108</v>
      </c>
      <c r="F20" s="64">
        <f>E20</f>
        <v>46108</v>
      </c>
      <c r="G20" s="15"/>
      <c r="H20" s="4">
        <f t="shared" ca="1" si="5"/>
        <v>1</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1" customFormat="1" ht="30" customHeight="1">
      <c r="A21" s="12"/>
      <c r="B21" s="62" t="s">
        <v>26</v>
      </c>
      <c r="C21" s="62" t="s">
        <v>14</v>
      </c>
      <c r="D21" s="63">
        <v>1</v>
      </c>
      <c r="E21" s="64">
        <f>F20</f>
        <v>46108</v>
      </c>
      <c r="F21" s="64">
        <f>E21+1</f>
        <v>46109</v>
      </c>
      <c r="G21" s="15"/>
      <c r="H21" s="4">
        <f t="shared" ca="1" si="5"/>
        <v>2</v>
      </c>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K21" s="45"/>
      <c r="BL21" s="45"/>
    </row>
    <row r="22" spans="1:64" s="41" customFormat="1" ht="30" customHeight="1">
      <c r="A22" s="12"/>
      <c r="B22" s="65" t="s">
        <v>27</v>
      </c>
      <c r="C22" s="65"/>
      <c r="D22" s="66"/>
      <c r="E22" s="67"/>
      <c r="F22" s="68"/>
      <c r="G22" s="15"/>
      <c r="H22" s="4" t="str">
        <f t="shared" ca="1" si="5"/>
        <v/>
      </c>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69"/>
      <c r="AW22" s="69"/>
      <c r="AX22" s="69"/>
      <c r="AY22" s="69"/>
      <c r="AZ22" s="69"/>
      <c r="BA22" s="69"/>
      <c r="BB22" s="69"/>
      <c r="BC22" s="69"/>
      <c r="BD22" s="69"/>
      <c r="BE22" s="69"/>
      <c r="BF22" s="69"/>
      <c r="BG22" s="69"/>
      <c r="BH22" s="69"/>
      <c r="BI22" s="69"/>
      <c r="BJ22" s="69"/>
      <c r="BK22" s="69"/>
      <c r="BL22" s="69"/>
    </row>
    <row r="23" spans="1:64" s="41" customFormat="1" ht="30" customHeight="1">
      <c r="A23" s="12"/>
      <c r="B23" s="70" t="s">
        <v>28</v>
      </c>
      <c r="C23" s="70" t="s">
        <v>19</v>
      </c>
      <c r="D23" s="71">
        <v>1</v>
      </c>
      <c r="E23" s="72">
        <f>E20+1</f>
        <v>46109</v>
      </c>
      <c r="F23" s="72">
        <f>E23+1</f>
        <v>46110</v>
      </c>
      <c r="G23" s="15"/>
      <c r="H23" s="4">
        <f t="shared" ca="1" si="5"/>
        <v>2</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1" customFormat="1" ht="30" customHeight="1">
      <c r="A24" s="12"/>
      <c r="B24" s="70" t="s">
        <v>29</v>
      </c>
      <c r="C24" s="70" t="s">
        <v>17</v>
      </c>
      <c r="D24" s="71">
        <v>1</v>
      </c>
      <c r="E24" s="72">
        <f>E23</f>
        <v>46109</v>
      </c>
      <c r="F24" s="72">
        <f>E24+4</f>
        <v>46113</v>
      </c>
      <c r="G24" s="15"/>
      <c r="H24" s="4">
        <f t="shared" ca="1" si="5"/>
        <v>5</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1" customFormat="1" ht="30" customHeight="1">
      <c r="A25" s="12"/>
      <c r="B25" s="70" t="s">
        <v>30</v>
      </c>
      <c r="C25" s="70" t="s">
        <v>11</v>
      </c>
      <c r="D25" s="71">
        <v>1</v>
      </c>
      <c r="E25" s="72">
        <f>E24+2</f>
        <v>46111</v>
      </c>
      <c r="F25" s="72">
        <f>E25+1</f>
        <v>46112</v>
      </c>
      <c r="G25" s="15"/>
      <c r="H25" s="4">
        <f t="shared" ca="1" si="5"/>
        <v>2</v>
      </c>
      <c r="I25" s="45"/>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K25" s="45"/>
      <c r="BL25" s="45"/>
    </row>
    <row r="26" spans="1:64" s="41" customFormat="1" ht="30" customHeight="1">
      <c r="A26" s="12"/>
      <c r="B26" s="70" t="s">
        <v>31</v>
      </c>
      <c r="C26" s="70" t="s">
        <v>19</v>
      </c>
      <c r="D26" s="71">
        <v>1</v>
      </c>
      <c r="E26" s="72">
        <f>E25</f>
        <v>46111</v>
      </c>
      <c r="F26" s="72">
        <f>E26+1</f>
        <v>46112</v>
      </c>
      <c r="G26" s="15"/>
      <c r="H26" s="4">
        <f t="shared" ca="1" si="5"/>
        <v>2</v>
      </c>
      <c r="I26" s="45"/>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K26" s="45"/>
      <c r="BL26" s="45"/>
    </row>
    <row r="27" spans="1:64" s="41" customFormat="1" ht="30" customHeight="1">
      <c r="A27" s="12"/>
      <c r="B27" s="70" t="s">
        <v>32</v>
      </c>
      <c r="C27" s="70" t="s">
        <v>19</v>
      </c>
      <c r="D27" s="71">
        <v>1</v>
      </c>
      <c r="E27" s="72">
        <f>F25</f>
        <v>46112</v>
      </c>
      <c r="F27" s="72">
        <f>E27</f>
        <v>46112</v>
      </c>
      <c r="G27" s="15"/>
      <c r="H27" s="4">
        <f t="shared" ca="1" si="5"/>
        <v>1</v>
      </c>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K27" s="45"/>
      <c r="BL27" s="45"/>
    </row>
    <row r="28" spans="1:64" s="41" customFormat="1" ht="30" customHeight="1">
      <c r="A28" s="12"/>
      <c r="B28" s="73"/>
      <c r="C28" s="73"/>
      <c r="D28" s="74"/>
      <c r="E28" s="75"/>
      <c r="F28" s="75"/>
      <c r="G28" s="15"/>
      <c r="H28" s="4" t="str">
        <f t="shared" ca="1" si="5"/>
        <v/>
      </c>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s="40"/>
      <c r="BE28" s="40"/>
      <c r="BF28" s="40"/>
      <c r="BG28" s="40"/>
      <c r="BH28" s="40"/>
      <c r="BI28" s="40"/>
      <c r="BJ28" s="40"/>
      <c r="BK28" s="40"/>
      <c r="BL28" s="40"/>
    </row>
    <row r="29" spans="1:64" s="41" customFormat="1" ht="30" customHeight="1">
      <c r="A29" s="13"/>
      <c r="B29" s="76" t="s">
        <v>33</v>
      </c>
      <c r="C29" s="76"/>
      <c r="D29" s="77"/>
      <c r="E29" s="78"/>
      <c r="F29" s="79"/>
      <c r="G29" s="15"/>
      <c r="H29" s="5" t="str">
        <f t="shared" ca="1" si="5"/>
        <v/>
      </c>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c r="BK29" s="80"/>
      <c r="BL29" s="80"/>
    </row>
    <row r="30" spans="1:64" ht="30" customHeight="1">
      <c r="G30" s="3"/>
    </row>
    <row r="31" spans="1:64" ht="30" customHeight="1">
      <c r="F31" s="14"/>
    </row>
  </sheetData>
  <mergeCells count="18">
    <mergeCell ref="A5:A6"/>
    <mergeCell ref="B5:B6"/>
    <mergeCell ref="D5:D6"/>
    <mergeCell ref="E5:E6"/>
    <mergeCell ref="C5:C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9:BL11">
    <cfRule type="expression" dxfId="8" priority="6">
      <formula>AND(task_start&lt;=I$5,ROUNDDOWN((task_end-task_start+1)*task_progress,0)+task_start-1&gt;=I$5)</formula>
    </cfRule>
    <cfRule type="expression" dxfId="7" priority="7" stopIfTrue="1">
      <formula>AND(task_end&gt;=I$5,task_start&lt;J$5)</formula>
    </cfRule>
  </conditionalFormatting>
  <conditionalFormatting sqref="I13:BL18">
    <cfRule type="expression" dxfId="6" priority="4">
      <formula>AND(task_start&lt;=I$5,ROUNDDOWN((task_end-task_start+1)*task_progress,0)+task_start-1&gt;=I$5)</formula>
    </cfRule>
    <cfRule type="expression" dxfId="5" priority="5" stopIfTrue="1">
      <formula>AND(task_end&gt;=I$5,task_start&lt;J$5)</formula>
    </cfRule>
  </conditionalFormatting>
  <conditionalFormatting sqref="I20:BL21">
    <cfRule type="expression" dxfId="4" priority="2">
      <formula>AND(task_start&lt;=I$5,ROUNDDOWN((task_end-task_start+1)*task_progress,0)+task_start-1&gt;=I$5)</formula>
    </cfRule>
    <cfRule type="expression" dxfId="3" priority="3" stopIfTrue="1">
      <formula>AND(task_end&gt;=I$5,task_start&lt;J$5)</formula>
    </cfRule>
  </conditionalFormatting>
  <conditionalFormatting sqref="I23:BL27">
    <cfRule type="expression" dxfId="2" priority="36">
      <formula>AND(task_start&lt;=I$5,ROUNDDOWN((task_end-task_start+1)*task_progress,0)+task_start-1&gt;=I$5)</formula>
    </cfRule>
    <cfRule type="expression" dxfId="1" priority="37" stopIfTrue="1">
      <formula>AND(task_end&gt;=I$5,task_start&lt;J$5)</formula>
    </cfRule>
  </conditionalFormatting>
  <conditionalFormatting sqref="I4:BL27">
    <cfRule type="expression" dxfId="0" priority="1">
      <formula>AND(TODAY()&gt;=I$5, TODAY()&lt;J$5)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2"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6 F24"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6" customWidth="1"/>
    <col min="2" max="16384" width="9" style="1"/>
  </cols>
  <sheetData>
    <row r="1" spans="1:2" ht="46.5" customHeight="1"/>
    <row r="2" spans="1:2" s="8" customFormat="1" ht="15.6">
      <c r="A2" s="82" t="s">
        <v>34</v>
      </c>
      <c r="B2" s="7"/>
    </row>
    <row r="3" spans="1:2" s="10" customFormat="1" ht="27" customHeight="1">
      <c r="A3" s="83"/>
      <c r="B3" s="11"/>
    </row>
    <row r="4" spans="1:2" s="9" customFormat="1" ht="30">
      <c r="A4" s="84" t="s">
        <v>35</v>
      </c>
    </row>
    <row r="5" spans="1:2" ht="74.25" customHeight="1">
      <c r="A5" s="85" t="s">
        <v>36</v>
      </c>
    </row>
    <row r="6" spans="1:2" ht="26.25" customHeight="1">
      <c r="A6" s="84" t="s">
        <v>37</v>
      </c>
    </row>
    <row r="7" spans="1:2" s="6" customFormat="1" ht="205.15" customHeight="1">
      <c r="A7" s="86" t="s">
        <v>38</v>
      </c>
    </row>
    <row r="8" spans="1:2" s="9" customFormat="1" ht="30">
      <c r="A8" s="84" t="s">
        <v>39</v>
      </c>
    </row>
    <row r="9" spans="1:2" ht="41.45">
      <c r="A9" s="85" t="s">
        <v>40</v>
      </c>
    </row>
    <row r="10" spans="1:2" s="6" customFormat="1" ht="28.15" customHeight="1">
      <c r="A10" s="87" t="s">
        <v>41</v>
      </c>
    </row>
    <row r="11" spans="1:2" s="9" customFormat="1" ht="30">
      <c r="A11" s="84" t="s">
        <v>42</v>
      </c>
    </row>
    <row r="12" spans="1:2" ht="27.6">
      <c r="A12" s="85" t="s">
        <v>43</v>
      </c>
    </row>
    <row r="13" spans="1:2" s="6" customFormat="1" ht="28.15" customHeight="1">
      <c r="A13" s="87" t="s">
        <v>44</v>
      </c>
    </row>
    <row r="14" spans="1:2" s="9" customFormat="1" ht="30">
      <c r="A14" s="84" t="s">
        <v>45</v>
      </c>
    </row>
    <row r="15" spans="1:2" ht="75" customHeight="1">
      <c r="A15" s="85" t="s">
        <v>46</v>
      </c>
    </row>
    <row r="16" spans="1:2" ht="69">
      <c r="A16" s="85" t="s">
        <v>47</v>
      </c>
    </row>
    <row r="17" spans="1:1">
      <c r="A17" s="88"/>
    </row>
    <row r="18" spans="1:1">
      <c r="A18" s="88"/>
    </row>
    <row r="19" spans="1:1">
      <c r="A19" s="88"/>
    </row>
    <row r="20" spans="1:1">
      <c r="A20" s="88"/>
    </row>
    <row r="21" spans="1:1">
      <c r="A21" s="88"/>
    </row>
    <row r="22" spans="1:1">
      <c r="A22" s="88"/>
    </row>
    <row r="23" spans="1:1">
      <c r="A23" s="88"/>
    </row>
    <row r="24" spans="1:1">
      <c r="A24" s="8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Tu Tran</cp:lastModifiedBy>
  <cp:revision/>
  <dcterms:created xsi:type="dcterms:W3CDTF">2026-02-26T06:09:07Z</dcterms:created>
  <dcterms:modified xsi:type="dcterms:W3CDTF">2026-03-29T01:35:42Z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